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BBA5F02-5341-46D5-B292-6554B10779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 s="1"/>
  <c r="C47" i="1"/>
  <c r="C48" i="1"/>
  <c r="C49" i="1"/>
  <c r="C50" i="1"/>
  <c r="C51" i="1"/>
  <c r="C46" i="1"/>
  <c r="C43" i="1"/>
  <c r="B40" i="1"/>
  <c r="B39" i="1"/>
  <c r="C39" i="1" s="1"/>
  <c r="F37" i="1"/>
  <c r="F36" i="1"/>
  <c r="C17" i="1"/>
  <c r="C19" i="1" s="1"/>
  <c r="C11" i="1"/>
  <c r="C2" i="1"/>
  <c r="C4" i="1" s="1"/>
  <c r="C7" i="1" s="1"/>
  <c r="C18" i="1" l="1"/>
  <c r="C20" i="1"/>
  <c r="C27" i="1" s="1"/>
  <c r="C13" i="1"/>
</calcChain>
</file>

<file path=xl/sharedStrings.xml><?xml version="1.0" encoding="utf-8"?>
<sst xmlns="http://schemas.openxmlformats.org/spreadsheetml/2006/main" count="44" uniqueCount="31">
  <si>
    <t>Length</t>
  </si>
  <si>
    <t>Contact area</t>
  </si>
  <si>
    <t>ODbh</t>
  </si>
  <si>
    <t>IDbh</t>
  </si>
  <si>
    <t>mm</t>
  </si>
  <si>
    <t>mm^2</t>
  </si>
  <si>
    <t xml:space="preserve">Load </t>
  </si>
  <si>
    <t>N</t>
  </si>
  <si>
    <t>Stress, shear</t>
  </si>
  <si>
    <t>Mpa</t>
  </si>
  <si>
    <t>adinox m305</t>
  </si>
  <si>
    <t>psi</t>
  </si>
  <si>
    <t>Sf</t>
  </si>
  <si>
    <t>Adhesive joint</t>
  </si>
  <si>
    <t>Bearing stress</t>
  </si>
  <si>
    <t>ODrcktMot</t>
  </si>
  <si>
    <t>Acnt</t>
  </si>
  <si>
    <t>t</t>
  </si>
  <si>
    <t>0.1 Mpa</t>
  </si>
  <si>
    <t>1.02 kgf/cm^2</t>
  </si>
  <si>
    <t>102 kgf/mm^2</t>
  </si>
  <si>
    <t>in</t>
  </si>
  <si>
    <t>altura</t>
  </si>
  <si>
    <t>plywood</t>
  </si>
  <si>
    <t>Depends on type of wood</t>
  </si>
  <si>
    <t>Density</t>
  </si>
  <si>
    <t>kg/m3</t>
  </si>
  <si>
    <t>Mass bulkhead</t>
  </si>
  <si>
    <t>kg</t>
  </si>
  <si>
    <t>gr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</si>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</sst>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6351</xdr:rowOff>
    </xdr:from>
    <xdr:to>
      <xdr:col>12</xdr:col>
      <xdr:colOff>314305</xdr:colOff>
      <xdr:row>11</xdr:row>
      <xdr:rowOff>130176</xdr:rowOff>
    </xdr:to>
    <xdr:pic>
      <xdr:nvPicPr>
        <xdr:cNvPr id="2" name="Picture 1" descr="International pressure units - WIKA blo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6351"/>
          <a:ext cx="3965555" cy="211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6350</xdr:colOff>
      <xdr:row>9</xdr:row>
      <xdr:rowOff>111875</xdr:rowOff>
    </xdr:from>
    <xdr:to>
      <xdr:col>11</xdr:col>
      <xdr:colOff>607415</xdr:colOff>
      <xdr:row>18</xdr:row>
      <xdr:rowOff>152880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4559300" y="1769225"/>
          <a:ext cx="3649065" cy="1698355"/>
          <a:chOff x="2695575" y="2080375"/>
          <a:chExt cx="3649065" cy="176820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95575" y="2080375"/>
            <a:ext cx="3649065" cy="1768205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781300" y="2324100"/>
            <a:ext cx="1013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ADINOX M305</a:t>
            </a:r>
          </a:p>
        </xdr:txBody>
      </xdr:sp>
    </xdr:grpSp>
    <xdr:clientData/>
  </xdr:twoCellAnchor>
  <xdr:twoCellAnchor editAs="oneCell">
    <xdr:from>
      <xdr:col>5</xdr:col>
      <xdr:colOff>514350</xdr:colOff>
      <xdr:row>19</xdr:row>
      <xdr:rowOff>76200</xdr:rowOff>
    </xdr:from>
    <xdr:to>
      <xdr:col>12</xdr:col>
      <xdr:colOff>457788</xdr:colOff>
      <xdr:row>31</xdr:row>
      <xdr:rowOff>47940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8075" y="3695700"/>
          <a:ext cx="4210638" cy="214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1"/>
  <sheetViews>
    <sheetView tabSelected="1" workbookViewId="0">
      <selection activeCell="B11" sqref="B11"/>
    </sheetView>
  </sheetViews>
  <sheetFormatPr defaultRowHeight="14.5" x14ac:dyDescent="0.35"/>
  <cols>
    <col min="1" max="1" width="5.1796875" customWidth="1"/>
    <col min="2" max="2" width="23" bestFit="1" customWidth="1"/>
    <col min="3" max="3" width="10.81640625" bestFit="1" customWidth="1"/>
  </cols>
  <sheetData>
    <row r="1" spans="2:4" x14ac:dyDescent="0.35">
      <c r="B1" s="2" t="s">
        <v>13</v>
      </c>
    </row>
    <row r="2" spans="2:4" x14ac:dyDescent="0.35">
      <c r="B2" t="s">
        <v>2</v>
      </c>
      <c r="C2">
        <f>88.9</f>
        <v>88.9</v>
      </c>
      <c r="D2" t="s">
        <v>4</v>
      </c>
    </row>
    <row r="3" spans="2:4" x14ac:dyDescent="0.35">
      <c r="B3" t="s">
        <v>0</v>
      </c>
      <c r="C3">
        <v>50</v>
      </c>
      <c r="D3" t="s">
        <v>4</v>
      </c>
    </row>
    <row r="4" spans="2:4" x14ac:dyDescent="0.35">
      <c r="B4" t="s">
        <v>1</v>
      </c>
      <c r="C4">
        <f>PI()*C2*C3</f>
        <v>13964.379345206631</v>
      </c>
      <c r="D4" t="s">
        <v>5</v>
      </c>
    </row>
    <row r="6" spans="2:4" x14ac:dyDescent="0.35">
      <c r="B6" t="s">
        <v>6</v>
      </c>
      <c r="C6">
        <v>1200</v>
      </c>
      <c r="D6" t="s">
        <v>7</v>
      </c>
    </row>
    <row r="7" spans="2:4" x14ac:dyDescent="0.35">
      <c r="B7" t="s">
        <v>8</v>
      </c>
      <c r="C7">
        <f>C6/C4</f>
        <v>8.5932927653666766E-2</v>
      </c>
      <c r="D7" t="s">
        <v>9</v>
      </c>
    </row>
    <row r="9" spans="2:4" x14ac:dyDescent="0.35">
      <c r="B9" t="s">
        <v>10</v>
      </c>
    </row>
    <row r="10" spans="2:4" x14ac:dyDescent="0.35">
      <c r="B10" t="s">
        <v>8</v>
      </c>
      <c r="C10">
        <v>1750</v>
      </c>
      <c r="D10" t="s">
        <v>11</v>
      </c>
    </row>
    <row r="11" spans="2:4" x14ac:dyDescent="0.35">
      <c r="C11" s="1">
        <f>C10*(0.1/14.5)</f>
        <v>12.068965517241381</v>
      </c>
      <c r="D11" t="s">
        <v>9</v>
      </c>
    </row>
    <row r="13" spans="2:4" x14ac:dyDescent="0.35">
      <c r="B13" t="s">
        <v>12</v>
      </c>
      <c r="C13">
        <f>C11/C7</f>
        <v>140.44634398914718</v>
      </c>
    </row>
    <row r="15" spans="2:4" x14ac:dyDescent="0.35">
      <c r="B15" s="2" t="s">
        <v>14</v>
      </c>
    </row>
    <row r="16" spans="2:4" x14ac:dyDescent="0.35">
      <c r="B16" t="s">
        <v>3</v>
      </c>
      <c r="C16">
        <v>45.9</v>
      </c>
      <c r="D16" t="s">
        <v>4</v>
      </c>
    </row>
    <row r="17" spans="2:5" x14ac:dyDescent="0.35">
      <c r="B17" t="s">
        <v>15</v>
      </c>
      <c r="C17">
        <f>2.375*25.4</f>
        <v>60.324999999999996</v>
      </c>
      <c r="D17" t="s">
        <v>4</v>
      </c>
    </row>
    <row r="18" spans="2:5" x14ac:dyDescent="0.35">
      <c r="B18" t="s">
        <v>16</v>
      </c>
      <c r="C18">
        <f>(PI()/4)*((C17^2)-C16^2)</f>
        <v>1203.462169656945</v>
      </c>
      <c r="D18" t="s">
        <v>5</v>
      </c>
    </row>
    <row r="19" spans="2:5" x14ac:dyDescent="0.35">
      <c r="B19" t="s">
        <v>17</v>
      </c>
      <c r="C19">
        <f>(C17-C16)/2</f>
        <v>7.2124999999999986</v>
      </c>
      <c r="D19" t="s">
        <v>4</v>
      </c>
    </row>
    <row r="20" spans="2:5" x14ac:dyDescent="0.35">
      <c r="B20" t="s">
        <v>8</v>
      </c>
      <c r="C20">
        <f>C6/C18</f>
        <v>0.99712315871305546</v>
      </c>
      <c r="D20" t="s">
        <v>9</v>
      </c>
      <c r="E20" t="s">
        <v>30</v>
      </c>
    </row>
    <row r="22" spans="2:5" x14ac:dyDescent="0.35">
      <c r="B22" t="s">
        <v>23</v>
      </c>
    </row>
    <row r="23" spans="2:5" x14ac:dyDescent="0.35">
      <c r="B23" t="s">
        <v>25</v>
      </c>
      <c r="C23">
        <v>750</v>
      </c>
      <c r="D23" t="s">
        <v>26</v>
      </c>
    </row>
    <row r="24" spans="2:5" x14ac:dyDescent="0.35">
      <c r="B24" t="s">
        <v>24</v>
      </c>
    </row>
    <row r="25" spans="2:5" x14ac:dyDescent="0.35">
      <c r="B25" t="s">
        <v>8</v>
      </c>
      <c r="C25">
        <v>5</v>
      </c>
      <c r="D25" t="s">
        <v>9</v>
      </c>
    </row>
    <row r="27" spans="2:5" x14ac:dyDescent="0.35">
      <c r="B27" t="s">
        <v>12</v>
      </c>
      <c r="C27">
        <f>C25/C20</f>
        <v>5.0144257069039373</v>
      </c>
    </row>
    <row r="28" spans="2:5" x14ac:dyDescent="0.35">
      <c r="B28" t="s">
        <v>27</v>
      </c>
      <c r="C28">
        <f>(C18/(1000*1000))*(C3/1000)*C23</f>
        <v>4.5129831362135442E-2</v>
      </c>
      <c r="D28" t="s">
        <v>28</v>
      </c>
    </row>
    <row r="29" spans="2:5" x14ac:dyDescent="0.35">
      <c r="C29">
        <f>C28*1000</f>
        <v>45.129831362135441</v>
      </c>
      <c r="D29" t="s">
        <v>29</v>
      </c>
    </row>
    <row r="32" spans="2:5" x14ac:dyDescent="0.35">
      <c r="B32" t="s">
        <v>18</v>
      </c>
      <c r="C32" t="s">
        <v>19</v>
      </c>
    </row>
    <row r="33" spans="2:6" x14ac:dyDescent="0.35">
      <c r="C33" t="s">
        <v>20</v>
      </c>
    </row>
    <row r="35" spans="2:6" x14ac:dyDescent="0.35">
      <c r="E35" t="s">
        <v>21</v>
      </c>
      <c r="F35" t="s">
        <v>4</v>
      </c>
    </row>
    <row r="36" spans="2:6" x14ac:dyDescent="0.35">
      <c r="B36">
        <v>22.751999999999999</v>
      </c>
      <c r="C36">
        <v>22.774000000000001</v>
      </c>
      <c r="E36">
        <v>7.75</v>
      </c>
      <c r="F36">
        <f>E36*25.4</f>
        <v>196.85</v>
      </c>
    </row>
    <row r="37" spans="2:6" x14ac:dyDescent="0.35">
      <c r="B37">
        <v>23.564</v>
      </c>
      <c r="C37">
        <v>23.59</v>
      </c>
      <c r="E37">
        <v>5.75</v>
      </c>
      <c r="F37">
        <f>E37*25.4</f>
        <v>146.04999999999998</v>
      </c>
    </row>
    <row r="39" spans="2:6" x14ac:dyDescent="0.35">
      <c r="B39">
        <f>24.134+0.02</f>
        <v>24.154</v>
      </c>
      <c r="C39">
        <f>B39*25.4</f>
        <v>613.51159999999993</v>
      </c>
    </row>
    <row r="40" spans="2:6" x14ac:dyDescent="0.35">
      <c r="B40" s="1">
        <f>C40/25.4</f>
        <v>24.178346456692914</v>
      </c>
      <c r="C40" s="3">
        <v>614.13</v>
      </c>
    </row>
    <row r="42" spans="2:6" x14ac:dyDescent="0.35">
      <c r="B42" t="s">
        <v>22</v>
      </c>
    </row>
    <row r="43" spans="2:6" x14ac:dyDescent="0.35">
      <c r="B43">
        <v>14.207000000000001</v>
      </c>
      <c r="C43">
        <f>B43*25.4</f>
        <v>360.8578</v>
      </c>
    </row>
    <row r="44" spans="2:6" x14ac:dyDescent="0.35">
      <c r="C44">
        <v>360.66</v>
      </c>
    </row>
    <row r="46" spans="2:6" x14ac:dyDescent="0.35">
      <c r="B46">
        <v>0.97</v>
      </c>
      <c r="C46" s="1">
        <f>B46/25.4</f>
        <v>3.8188976377952759E-2</v>
      </c>
    </row>
    <row r="47" spans="2:6" x14ac:dyDescent="0.35">
      <c r="B47">
        <v>0.16</v>
      </c>
      <c r="C47" s="1">
        <f t="shared" ref="C47:C51" si="0">B47/25.4</f>
        <v>6.2992125984251976E-3</v>
      </c>
    </row>
    <row r="48" spans="2:6" x14ac:dyDescent="0.35">
      <c r="B48">
        <v>0.31</v>
      </c>
      <c r="C48" s="1">
        <f t="shared" si="0"/>
        <v>1.2204724409448819E-2</v>
      </c>
    </row>
    <row r="49" spans="2:3" x14ac:dyDescent="0.35">
      <c r="B49">
        <v>0.31</v>
      </c>
      <c r="C49" s="1">
        <f t="shared" si="0"/>
        <v>1.2204724409448819E-2</v>
      </c>
    </row>
    <row r="50" spans="2:3" x14ac:dyDescent="0.35">
      <c r="B50">
        <v>0.17</v>
      </c>
      <c r="C50" s="1">
        <f t="shared" si="0"/>
        <v>6.6929133858267724E-3</v>
      </c>
    </row>
    <row r="51" spans="2:3" x14ac:dyDescent="0.35">
      <c r="B51">
        <v>0.73</v>
      </c>
      <c r="C51" s="1">
        <f t="shared" si="0"/>
        <v>2.874015748031496E-2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2025-09-25T12:41:18Z</dcterms:modified>
</cp:coreProperties>
</file>